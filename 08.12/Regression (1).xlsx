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nna\Desktop\DataMining\"/>
    </mc:Choice>
  </mc:AlternateContent>
  <bookViews>
    <workbookView xWindow="0" yWindow="0" windowWidth="19200" windowHeight="7020"/>
  </bookViews>
  <sheets>
    <sheet name="Arkusz1" sheetId="1" r:id="rId1"/>
  </sheets>
  <definedNames>
    <definedName name="solver_adj" localSheetId="0" hidden="1">Arkusz1!$C$107:$C$108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Arkusz1!$H$106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5" i="1" l="1"/>
  <c r="H123" i="1"/>
  <c r="H124" i="1"/>
  <c r="H56" i="1"/>
  <c r="I84" i="1"/>
  <c r="H105" i="1"/>
  <c r="E121" i="1"/>
  <c r="F121" i="1" s="1"/>
  <c r="G121" i="1" s="1"/>
  <c r="E120" i="1"/>
  <c r="F120" i="1" s="1"/>
  <c r="G120" i="1" s="1"/>
  <c r="G119" i="1"/>
  <c r="F119" i="1"/>
  <c r="E119" i="1"/>
  <c r="E118" i="1"/>
  <c r="F118" i="1" s="1"/>
  <c r="G118" i="1" s="1"/>
  <c r="F117" i="1"/>
  <c r="G117" i="1" s="1"/>
  <c r="E117" i="1"/>
  <c r="E116" i="1"/>
  <c r="F116" i="1" s="1"/>
  <c r="G116" i="1" s="1"/>
  <c r="E115" i="1"/>
  <c r="F115" i="1" s="1"/>
  <c r="G115" i="1" s="1"/>
  <c r="E103" i="1"/>
  <c r="F103" i="1" s="1"/>
  <c r="G103" i="1" s="1"/>
  <c r="E102" i="1"/>
  <c r="F102" i="1" s="1"/>
  <c r="G102" i="1" s="1"/>
  <c r="E101" i="1"/>
  <c r="F101" i="1" s="1"/>
  <c r="G101" i="1" s="1"/>
  <c r="E100" i="1"/>
  <c r="F100" i="1" s="1"/>
  <c r="G100" i="1" s="1"/>
  <c r="E99" i="1"/>
  <c r="F99" i="1" s="1"/>
  <c r="G99" i="1" s="1"/>
  <c r="E98" i="1"/>
  <c r="F98" i="1" s="1"/>
  <c r="G98" i="1" s="1"/>
  <c r="E97" i="1"/>
  <c r="F97" i="1" s="1"/>
  <c r="G97" i="1" s="1"/>
  <c r="E52" i="1"/>
  <c r="B82" i="1"/>
  <c r="B81" i="1"/>
  <c r="B80" i="1"/>
  <c r="B79" i="1"/>
  <c r="B78" i="1"/>
  <c r="B77" i="1"/>
  <c r="B76" i="1"/>
  <c r="B55" i="1"/>
  <c r="B54" i="1"/>
  <c r="B53" i="1"/>
  <c r="B52" i="1"/>
  <c r="F5" i="1"/>
  <c r="F4" i="1"/>
  <c r="F3" i="1"/>
  <c r="E6" i="1"/>
  <c r="E39" i="1"/>
  <c r="F39" i="1" s="1"/>
  <c r="G39" i="1" s="1"/>
  <c r="E41" i="1"/>
  <c r="F41" i="1" s="1"/>
  <c r="G41" i="1" s="1"/>
  <c r="E40" i="1"/>
  <c r="F40" i="1" s="1"/>
  <c r="G40" i="1" s="1"/>
  <c r="E42" i="1"/>
  <c r="F42" i="1" s="1"/>
  <c r="G42" i="1" s="1"/>
  <c r="F76" i="1"/>
  <c r="G76" i="1" s="1"/>
  <c r="H76" i="1" s="1"/>
  <c r="F82" i="1"/>
  <c r="G82" i="1" s="1"/>
  <c r="H82" i="1" s="1"/>
  <c r="F81" i="1"/>
  <c r="G81" i="1" s="1"/>
  <c r="H81" i="1" s="1"/>
  <c r="F80" i="1"/>
  <c r="G80" i="1" s="1"/>
  <c r="H80" i="1" s="1"/>
  <c r="F79" i="1"/>
  <c r="G79" i="1" s="1"/>
  <c r="H79" i="1" s="1"/>
  <c r="F78" i="1"/>
  <c r="G78" i="1" s="1"/>
  <c r="H78" i="1" s="1"/>
  <c r="F77" i="1"/>
  <c r="G77" i="1" s="1"/>
  <c r="H77" i="1" s="1"/>
  <c r="C82" i="1"/>
  <c r="C81" i="1"/>
  <c r="C80" i="1"/>
  <c r="C79" i="1"/>
  <c r="C78" i="1"/>
  <c r="C77" i="1"/>
  <c r="C76" i="1"/>
  <c r="H60" i="1"/>
  <c r="D10" i="1"/>
  <c r="F6" i="1" s="1"/>
  <c r="C10" i="1"/>
  <c r="E5" i="1" s="1"/>
  <c r="C11" i="1"/>
  <c r="D11" i="1"/>
  <c r="E53" i="1"/>
  <c r="F53" i="1" s="1"/>
  <c r="G53" i="1" s="1"/>
  <c r="F52" i="1"/>
  <c r="G52" i="1" s="1"/>
  <c r="E55" i="1"/>
  <c r="F55" i="1" s="1"/>
  <c r="G55" i="1" s="1"/>
  <c r="E54" i="1"/>
  <c r="F54" i="1" s="1"/>
  <c r="G54" i="1" s="1"/>
  <c r="G123" i="1" l="1"/>
  <c r="G105" i="1"/>
  <c r="H106" i="1" s="1"/>
  <c r="E4" i="1"/>
  <c r="E3" i="1"/>
  <c r="G45" i="1"/>
  <c r="G60" i="1"/>
  <c r="H61" i="1" s="1"/>
  <c r="H84" i="1"/>
  <c r="I85" i="1" s="1"/>
  <c r="E24" i="1"/>
  <c r="H24" i="1" s="1"/>
  <c r="E23" i="1"/>
  <c r="H23" i="1" s="1"/>
  <c r="E22" i="1"/>
  <c r="H22" i="1" s="1"/>
  <c r="D29" i="1"/>
  <c r="C29" i="1"/>
  <c r="D28" i="1"/>
  <c r="F24" i="1" s="1"/>
  <c r="C28" i="1"/>
  <c r="G3" i="1" l="1"/>
  <c r="H3" i="1"/>
  <c r="H5" i="1"/>
  <c r="H6" i="1"/>
  <c r="H4" i="1"/>
  <c r="E25" i="1"/>
  <c r="H25" i="1" s="1"/>
  <c r="E26" i="1"/>
  <c r="H26" i="1" s="1"/>
  <c r="G24" i="1"/>
  <c r="E27" i="1"/>
  <c r="H27" i="1" s="1"/>
  <c r="E21" i="1"/>
  <c r="H21" i="1" s="1"/>
  <c r="F22" i="1"/>
  <c r="G22" i="1" s="1"/>
  <c r="F26" i="1"/>
  <c r="F27" i="1"/>
  <c r="F21" i="1"/>
  <c r="G21" i="1" s="1"/>
  <c r="G6" i="1"/>
  <c r="G5" i="1"/>
  <c r="F25" i="1"/>
  <c r="F23" i="1"/>
  <c r="G23" i="1" s="1"/>
  <c r="G27" i="1" l="1"/>
  <c r="G25" i="1"/>
  <c r="G26" i="1"/>
  <c r="G4" i="1"/>
  <c r="H30" i="1"/>
  <c r="H12" i="1"/>
  <c r="G12" i="1"/>
  <c r="G13" i="1" s="1"/>
  <c r="G14" i="1" s="1"/>
  <c r="G30" i="1"/>
  <c r="G31" i="1" s="1"/>
  <c r="G32" i="1" s="1"/>
  <c r="B23" i="1" l="1"/>
  <c r="B21" i="1"/>
  <c r="B22" i="1"/>
  <c r="I4" i="1"/>
  <c r="J4" i="1" s="1"/>
  <c r="I6" i="1"/>
  <c r="J6" i="1" s="1"/>
  <c r="K6" i="1" s="1"/>
  <c r="I5" i="1"/>
  <c r="J5" i="1" s="1"/>
  <c r="K5" i="1" s="1"/>
  <c r="I3" i="1"/>
  <c r="J3" i="1" s="1"/>
  <c r="K3" i="1" s="1"/>
  <c r="B26" i="1"/>
  <c r="B25" i="1"/>
  <c r="B27" i="1"/>
  <c r="B24" i="1"/>
  <c r="K4" i="1"/>
  <c r="I27" i="1"/>
  <c r="J27" i="1" s="1"/>
  <c r="K27" i="1" s="1"/>
  <c r="I24" i="1"/>
  <c r="J24" i="1" s="1"/>
  <c r="K24" i="1" s="1"/>
  <c r="I23" i="1"/>
  <c r="J23" i="1" s="1"/>
  <c r="K23" i="1" s="1"/>
  <c r="I22" i="1"/>
  <c r="J22" i="1" s="1"/>
  <c r="K22" i="1" s="1"/>
  <c r="I26" i="1"/>
  <c r="J26" i="1" s="1"/>
  <c r="K26" i="1" s="1"/>
  <c r="I25" i="1"/>
  <c r="J25" i="1" s="1"/>
  <c r="K25" i="1" s="1"/>
  <c r="I21" i="1"/>
  <c r="J21" i="1" s="1"/>
  <c r="K21" i="1" s="1"/>
  <c r="K12" i="1" l="1"/>
  <c r="K30" i="1"/>
</calcChain>
</file>

<file path=xl/sharedStrings.xml><?xml version="1.0" encoding="utf-8"?>
<sst xmlns="http://schemas.openxmlformats.org/spreadsheetml/2006/main" count="102" uniqueCount="36">
  <si>
    <t>X</t>
  </si>
  <si>
    <t>Y</t>
  </si>
  <si>
    <t>average</t>
  </si>
  <si>
    <t>X - av X</t>
  </si>
  <si>
    <t>Y - av Y</t>
  </si>
  <si>
    <t>A</t>
  </si>
  <si>
    <t>B</t>
  </si>
  <si>
    <t>AB</t>
  </si>
  <si>
    <t>A*A</t>
  </si>
  <si>
    <t>sum</t>
  </si>
  <si>
    <t>beta</t>
  </si>
  <si>
    <t>alpha</t>
  </si>
  <si>
    <t>B * B</t>
  </si>
  <si>
    <t>real Y</t>
  </si>
  <si>
    <t>model Y</t>
  </si>
  <si>
    <t>model 4</t>
  </si>
  <si>
    <t>model 5</t>
  </si>
  <si>
    <t>real Y - model Y</t>
  </si>
  <si>
    <t>model Y - real Y</t>
  </si>
  <si>
    <t>C</t>
  </si>
  <si>
    <t>C * C</t>
  </si>
  <si>
    <t>lambda</t>
  </si>
  <si>
    <t>penalty</t>
  </si>
  <si>
    <t>sub sum</t>
  </si>
  <si>
    <t>total penalty</t>
  </si>
  <si>
    <t>p Y</t>
  </si>
  <si>
    <t>A * A</t>
  </si>
  <si>
    <t>real Y - m Y</t>
  </si>
  <si>
    <t>model 1</t>
  </si>
  <si>
    <t>model 2</t>
  </si>
  <si>
    <t>model 3</t>
  </si>
  <si>
    <t>LASSO</t>
  </si>
  <si>
    <t>RIDGE</t>
  </si>
  <si>
    <t>ELASTIC NET</t>
  </si>
  <si>
    <t>lambda 2</t>
  </si>
  <si>
    <t>lambda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</si>
</sst>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2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Arkusz1!$C$3:$C$6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Arkusz1!$D$3:$D$6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</c:numCache>
            </c:numRef>
          </c:yVal>
          <c:smooth val="0"/>
        </c:ser>
        <c:ser>
          <c:idx val="1"/>
          <c:order val="1"/>
          <c:tx>
            <c:v>mY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Arkusz1!$C$3:$C$6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Arkusz1!$I$3:$I$6</c:f>
              <c:numCache>
                <c:formatCode>General</c:formatCode>
                <c:ptCount val="4"/>
                <c:pt idx="0">
                  <c:v>4.2</c:v>
                </c:pt>
                <c:pt idx="1">
                  <c:v>5.2285714285714286</c:v>
                </c:pt>
                <c:pt idx="2">
                  <c:v>6.2571428571428571</c:v>
                </c:pt>
                <c:pt idx="3">
                  <c:v>8.3142857142857132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462576"/>
        <c:axId val="472462184"/>
      </c:scatterChart>
      <c:valAx>
        <c:axId val="4724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62184"/>
        <c:crosses val="autoZero"/>
        <c:crossBetween val="midCat"/>
      </c:valAx>
      <c:valAx>
        <c:axId val="4724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Arkusz1!$C$21:$C$27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Arkusz1!$D$21:$D$27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v>mY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Arkusz1!$C$21:$C$27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Arkusz1!$I$21:$I$27</c:f>
              <c:numCache>
                <c:formatCode>General</c:formatCode>
                <c:ptCount val="7"/>
                <c:pt idx="0">
                  <c:v>5.7923322683706076</c:v>
                </c:pt>
                <c:pt idx="1">
                  <c:v>5.9009584664536741</c:v>
                </c:pt>
                <c:pt idx="2">
                  <c:v>6.0095846645367414</c:v>
                </c:pt>
                <c:pt idx="3">
                  <c:v>6.2268370607028762</c:v>
                </c:pt>
                <c:pt idx="4">
                  <c:v>6.7699680511182114</c:v>
                </c:pt>
                <c:pt idx="5">
                  <c:v>6.9872204472843453</c:v>
                </c:pt>
                <c:pt idx="6">
                  <c:v>7.3130990415335475</c:v>
                </c:pt>
              </c:numCache>
            </c:numRef>
          </c:yVal>
          <c:smooth val="0"/>
        </c:ser>
        <c:ser>
          <c:idx val="2"/>
          <c:order val="2"/>
          <c:tx>
            <c:v>pY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Arkusz1!$C$21:$C$27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Arkusz1!$B$21:$B$27</c:f>
              <c:numCache>
                <c:formatCode>General</c:formatCode>
                <c:ptCount val="7"/>
                <c:pt idx="0">
                  <c:v>4.2</c:v>
                </c:pt>
                <c:pt idx="1">
                  <c:v>5.2285714285714286</c:v>
                </c:pt>
                <c:pt idx="2">
                  <c:v>6.2571428571428571</c:v>
                </c:pt>
                <c:pt idx="3">
                  <c:v>8.3142857142857132</c:v>
                </c:pt>
                <c:pt idx="4">
                  <c:v>13.457142857142856</c:v>
                </c:pt>
                <c:pt idx="5">
                  <c:v>15.514285714285712</c:v>
                </c:pt>
                <c:pt idx="6">
                  <c:v>18.599999999999998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084504"/>
        <c:axId val="926084112"/>
      </c:scatterChart>
      <c:valAx>
        <c:axId val="92608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4112"/>
        <c:crosses val="autoZero"/>
        <c:crossBetween val="midCat"/>
      </c:valAx>
      <c:valAx>
        <c:axId val="9260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4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Arkusz1!$C$52:$C$55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Arkusz1!$D$52:$D$55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</c:numCache>
            </c:numRef>
          </c:yVal>
          <c:smooth val="0"/>
        </c:ser>
        <c:ser>
          <c:idx val="1"/>
          <c:order val="1"/>
          <c:tx>
            <c:v>mY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Arkusz1!$C$52:$C$55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Arkusz1!$E$52:$E$55</c:f>
              <c:numCache>
                <c:formatCode>General</c:formatCode>
                <c:ptCount val="4"/>
                <c:pt idx="0">
                  <c:v>4.3846169229296468</c:v>
                </c:pt>
                <c:pt idx="1">
                  <c:v>5.307693226737439</c:v>
                </c:pt>
                <c:pt idx="2">
                  <c:v>6.2307695305452313</c:v>
                </c:pt>
                <c:pt idx="3">
                  <c:v>8.0769221381608176</c:v>
                </c:pt>
              </c:numCache>
            </c:numRef>
          </c:yVal>
          <c:smooth val="0"/>
        </c:ser>
        <c:ser>
          <c:idx val="2"/>
          <c:order val="2"/>
          <c:tx>
            <c:v>model1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Arkusz1!$C$52:$C$55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Arkusz1!$B$52:$B$55</c:f>
              <c:numCache>
                <c:formatCode>General</c:formatCode>
                <c:ptCount val="4"/>
                <c:pt idx="0">
                  <c:v>4.2</c:v>
                </c:pt>
                <c:pt idx="1">
                  <c:v>5.2285714285714286</c:v>
                </c:pt>
                <c:pt idx="2">
                  <c:v>6.2571428571428571</c:v>
                </c:pt>
                <c:pt idx="3">
                  <c:v>8.3142857142857132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081368"/>
        <c:axId val="926083328"/>
      </c:scatterChart>
      <c:valAx>
        <c:axId val="92608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3328"/>
        <c:crosses val="autoZero"/>
        <c:crossBetween val="midCat"/>
      </c:valAx>
      <c:valAx>
        <c:axId val="9260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1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Arkusz1!$D$76:$D$82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Arkusz1!$E$76:$E$82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v>mY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Arkusz1!$D$76:$D$82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Arkusz1!$F$76:$F$82</c:f>
              <c:numCache>
                <c:formatCode>General</c:formatCode>
                <c:ptCount val="7"/>
                <c:pt idx="0">
                  <c:v>5.795885266213352</c:v>
                </c:pt>
                <c:pt idx="1">
                  <c:v>5.9039058828357955</c:v>
                </c:pt>
                <c:pt idx="2">
                  <c:v>6.01192649945824</c:v>
                </c:pt>
                <c:pt idx="3">
                  <c:v>6.2279677327031271</c:v>
                </c:pt>
                <c:pt idx="4">
                  <c:v>6.7680708158153458</c:v>
                </c:pt>
                <c:pt idx="5">
                  <c:v>6.9841120490602338</c:v>
                </c:pt>
                <c:pt idx="6">
                  <c:v>7.3081738989275653</c:v>
                </c:pt>
              </c:numCache>
            </c:numRef>
          </c:yVal>
          <c:smooth val="0"/>
        </c:ser>
        <c:ser>
          <c:idx val="2"/>
          <c:order val="2"/>
          <c:tx>
            <c:v>pY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Arkusz1!$D$76:$D$82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Arkusz1!$C$76:$C$82</c:f>
              <c:numCache>
                <c:formatCode>General</c:formatCode>
                <c:ptCount val="7"/>
                <c:pt idx="0">
                  <c:v>4.3846169229296468</c:v>
                </c:pt>
                <c:pt idx="1">
                  <c:v>5.307693226737439</c:v>
                </c:pt>
                <c:pt idx="2">
                  <c:v>6.2307695305452313</c:v>
                </c:pt>
                <c:pt idx="3">
                  <c:v>8.0769221381608176</c:v>
                </c:pt>
                <c:pt idx="4">
                  <c:v>12.69230365719978</c:v>
                </c:pt>
                <c:pt idx="5">
                  <c:v>14.538456264815363</c:v>
                </c:pt>
                <c:pt idx="6">
                  <c:v>17.307685176238738</c:v>
                </c:pt>
              </c:numCache>
            </c:numRef>
          </c:yVal>
          <c:smooth val="0"/>
        </c:ser>
        <c:ser>
          <c:idx val="3"/>
          <c:order val="3"/>
          <c:tx>
            <c:v>model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Arkusz1!$D$76:$D$82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Arkusz1!$B$76:$B$82</c:f>
              <c:numCache>
                <c:formatCode>General</c:formatCode>
                <c:ptCount val="7"/>
                <c:pt idx="0">
                  <c:v>4.2</c:v>
                </c:pt>
                <c:pt idx="1">
                  <c:v>5.2285714285714286</c:v>
                </c:pt>
                <c:pt idx="2">
                  <c:v>6.2571428571428571</c:v>
                </c:pt>
                <c:pt idx="3">
                  <c:v>8.3142857142857132</c:v>
                </c:pt>
                <c:pt idx="4">
                  <c:v>13.457142857142856</c:v>
                </c:pt>
                <c:pt idx="5">
                  <c:v>15.514285714285712</c:v>
                </c:pt>
                <c:pt idx="6">
                  <c:v>18.599999999999998</c:v>
                </c:pt>
              </c:numCache>
            </c:numRef>
          </c:yVal>
          <c:smooth val="0"/>
        </c:ser>
        <c:ser>
          <c:idx val="5"/>
          <c:order val="4"/>
          <c:tx>
            <c:v>model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Arkusz1!$D$76:$D$82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</c:numCache>
            </c:numRef>
          </c:xVal>
          <c:yVal>
            <c:numRef>
              <c:f>Arkusz1!$C$76:$C$82</c:f>
              <c:numCache>
                <c:formatCode>General</c:formatCode>
                <c:ptCount val="7"/>
                <c:pt idx="0">
                  <c:v>4.3846169229296468</c:v>
                </c:pt>
                <c:pt idx="1">
                  <c:v>5.307693226737439</c:v>
                </c:pt>
                <c:pt idx="2">
                  <c:v>6.2307695305452313</c:v>
                </c:pt>
                <c:pt idx="3">
                  <c:v>8.0769221381608176</c:v>
                </c:pt>
                <c:pt idx="4">
                  <c:v>12.69230365719978</c:v>
                </c:pt>
                <c:pt idx="5">
                  <c:v>14.538456264815363</c:v>
                </c:pt>
                <c:pt idx="6">
                  <c:v>17.307685176238738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26752"/>
        <c:axId val="1064529104"/>
      </c:scatterChart>
      <c:valAx>
        <c:axId val="106452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29104"/>
        <c:crosses val="autoZero"/>
        <c:crossBetween val="midCat"/>
      </c:valAx>
      <c:valAx>
        <c:axId val="10645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2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196849</xdr:colOff>
      <xdr:row>0</xdr:row>
      <xdr:rowOff>126999</xdr:rowOff>
    </xdr:from>
    <xdr:to>
      <xdr:col>18</xdr:col>
      <xdr:colOff>104774</xdr:colOff>
      <xdr:row>14</xdr:row>
      <xdr:rowOff>60324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165100</xdr:colOff>
      <xdr:row>17</xdr:row>
      <xdr:rowOff>101600</xdr:rowOff>
    </xdr:from>
    <xdr:to>
      <xdr:col>18</xdr:col>
      <xdr:colOff>155574</xdr:colOff>
      <xdr:row>31</xdr:row>
      <xdr:rowOff>155574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79375</xdr:colOff>
      <xdr:row>48</xdr:row>
      <xdr:rowOff>98425</xdr:rowOff>
    </xdr:from>
    <xdr:to>
      <xdr:col>18</xdr:col>
      <xdr:colOff>384175</xdr:colOff>
      <xdr:row>63</xdr:row>
      <xdr:rowOff>79375</xdr:rowOff>
    </xdr:to>
    <xdr:graphicFrame macro="">
      <xdr:nvGraphicFramePr>
        <xdr:cNvPr id="7" name="Wykres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73</xdr:row>
      <xdr:rowOff>9525</xdr:rowOff>
    </xdr:from>
    <xdr:to>
      <xdr:col>18</xdr:col>
      <xdr:colOff>390525</xdr:colOff>
      <xdr:row>87</xdr:row>
      <xdr:rowOff>174625</xdr:rowOff>
    </xdr:to>
    <xdr:graphicFrame macro="">
      <xdr:nvGraphicFramePr>
        <xdr:cNvPr id="8" name="Wykres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topLeftCell="A115" workbookViewId="0">
      <selection activeCell="B131" sqref="B131"/>
    </sheetView>
  </sheetViews>
  <sheetFormatPr defaultRowHeight="14.5" x14ac:dyDescent="0.35"/>
  <cols>
    <col min="3" max="3" width="9.08984375" bestFit="1" customWidth="1"/>
    <col min="6" max="6" width="11" customWidth="1"/>
    <col min="7" max="7" width="9.08984375" bestFit="1" customWidth="1"/>
    <col min="10" max="10" width="13.81640625" bestFit="1" customWidth="1"/>
  </cols>
  <sheetData>
    <row r="1" spans="1:11" x14ac:dyDescent="0.35">
      <c r="A1" t="s">
        <v>28</v>
      </c>
      <c r="B1" s="3"/>
      <c r="C1" s="3"/>
      <c r="D1" s="3"/>
      <c r="E1" s="3" t="s">
        <v>5</v>
      </c>
      <c r="F1" s="3" t="s">
        <v>6</v>
      </c>
      <c r="G1" s="3"/>
      <c r="H1" s="3"/>
      <c r="I1" s="3"/>
      <c r="J1" s="1" t="s">
        <v>19</v>
      </c>
      <c r="K1" s="1"/>
    </row>
    <row r="2" spans="1:11" x14ac:dyDescent="0.35">
      <c r="B2" s="3"/>
      <c r="C2" s="1" t="s">
        <v>0</v>
      </c>
      <c r="D2" s="1" t="s">
        <v>1</v>
      </c>
      <c r="E2" s="1" t="s">
        <v>3</v>
      </c>
      <c r="F2" s="1" t="s">
        <v>4</v>
      </c>
      <c r="G2" s="2" t="s">
        <v>7</v>
      </c>
      <c r="H2" s="2" t="s">
        <v>8</v>
      </c>
      <c r="I2" s="2" t="s">
        <v>14</v>
      </c>
      <c r="J2" s="3" t="s">
        <v>18</v>
      </c>
      <c r="K2" s="1" t="s">
        <v>20</v>
      </c>
    </row>
    <row r="3" spans="1:11" x14ac:dyDescent="0.35">
      <c r="B3" s="3"/>
      <c r="C3" s="6">
        <v>1</v>
      </c>
      <c r="D3" s="6">
        <v>4</v>
      </c>
      <c r="E3" s="6">
        <f>C3-$C$10</f>
        <v>-1.75</v>
      </c>
      <c r="F3" s="6">
        <f>D3-$D$10</f>
        <v>-2</v>
      </c>
      <c r="G3" s="7">
        <f>E3*F3</f>
        <v>3.5</v>
      </c>
      <c r="H3" s="7">
        <f>E3*E3</f>
        <v>3.0625</v>
      </c>
      <c r="I3" s="7">
        <f>$G$14+$G$13*C3</f>
        <v>4.2</v>
      </c>
      <c r="J3" s="7">
        <f>I3-D3</f>
        <v>0.20000000000000018</v>
      </c>
      <c r="K3" s="6">
        <f>J3*J3</f>
        <v>4.000000000000007E-2</v>
      </c>
    </row>
    <row r="4" spans="1:11" x14ac:dyDescent="0.35">
      <c r="B4" s="3"/>
      <c r="C4" s="6">
        <v>2</v>
      </c>
      <c r="D4" s="6">
        <v>5</v>
      </c>
      <c r="E4" s="6">
        <f t="shared" ref="E4:E6" si="0">C4-$C$10</f>
        <v>-0.75</v>
      </c>
      <c r="F4" s="6">
        <f t="shared" ref="F4:F6" si="1">D4-$D$10</f>
        <v>-1</v>
      </c>
      <c r="G4" s="7">
        <f t="shared" ref="G4:G6" si="2">E4*F4</f>
        <v>0.75</v>
      </c>
      <c r="H4" s="7">
        <f>E4*E4</f>
        <v>0.5625</v>
      </c>
      <c r="I4" s="7">
        <f>$G$14+$G$13*C4</f>
        <v>5.2285714285714286</v>
      </c>
      <c r="J4" s="7">
        <f>I4-D4</f>
        <v>0.22857142857142865</v>
      </c>
      <c r="K4" s="6">
        <f t="shared" ref="K4:K9" si="3">J4*J4</f>
        <v>5.224489795918371E-2</v>
      </c>
    </row>
    <row r="5" spans="1:11" x14ac:dyDescent="0.35">
      <c r="B5" s="3"/>
      <c r="C5" s="6">
        <v>3</v>
      </c>
      <c r="D5" s="6">
        <v>7</v>
      </c>
      <c r="E5" s="6">
        <f t="shared" si="0"/>
        <v>0.25</v>
      </c>
      <c r="F5" s="6">
        <f t="shared" si="1"/>
        <v>1</v>
      </c>
      <c r="G5" s="7">
        <f t="shared" si="2"/>
        <v>0.25</v>
      </c>
      <c r="H5" s="7">
        <f>E5*E5</f>
        <v>6.25E-2</v>
      </c>
      <c r="I5" s="7">
        <f>$G$14+$G$13*C5</f>
        <v>6.2571428571428571</v>
      </c>
      <c r="J5" s="7">
        <f>I5-D5</f>
        <v>-0.74285714285714288</v>
      </c>
      <c r="K5" s="6">
        <f t="shared" si="3"/>
        <v>0.55183673469387762</v>
      </c>
    </row>
    <row r="6" spans="1:11" x14ac:dyDescent="0.35">
      <c r="B6" s="3"/>
      <c r="C6" s="6">
        <v>5</v>
      </c>
      <c r="D6" s="6">
        <v>8</v>
      </c>
      <c r="E6" s="6">
        <f t="shared" si="0"/>
        <v>2.25</v>
      </c>
      <c r="F6" s="6">
        <f t="shared" si="1"/>
        <v>2</v>
      </c>
      <c r="G6" s="7">
        <f t="shared" si="2"/>
        <v>4.5</v>
      </c>
      <c r="H6" s="7">
        <f t="shared" ref="H6" si="4">E6*E6</f>
        <v>5.0625</v>
      </c>
      <c r="I6" s="7">
        <f>$G$14+$G$13*C6</f>
        <v>8.3142857142857132</v>
      </c>
      <c r="J6" s="7">
        <f>I6-D6</f>
        <v>0.31428571428571317</v>
      </c>
      <c r="K6" s="6">
        <f t="shared" si="3"/>
        <v>9.877551020408093E-2</v>
      </c>
    </row>
    <row r="7" spans="1:11" x14ac:dyDescent="0.35">
      <c r="B7" s="3"/>
      <c r="C7" s="1"/>
      <c r="D7" s="1"/>
      <c r="E7" s="1"/>
      <c r="F7" s="1"/>
      <c r="G7" s="3"/>
      <c r="H7" s="3"/>
      <c r="I7" s="3"/>
      <c r="J7" s="3"/>
      <c r="K7" s="1"/>
    </row>
    <row r="8" spans="1:11" x14ac:dyDescent="0.35">
      <c r="B8" s="3"/>
      <c r="C8" s="1"/>
      <c r="D8" s="1"/>
      <c r="E8" s="1"/>
      <c r="F8" s="1"/>
      <c r="G8" s="3"/>
      <c r="H8" s="3"/>
      <c r="I8" s="3"/>
      <c r="J8" s="3"/>
      <c r="K8" s="1"/>
    </row>
    <row r="9" spans="1:11" x14ac:dyDescent="0.35">
      <c r="B9" s="3"/>
      <c r="C9" s="1"/>
      <c r="D9" s="1"/>
      <c r="E9" s="1"/>
      <c r="F9" s="1"/>
      <c r="G9" s="3"/>
      <c r="H9" s="3"/>
      <c r="I9" s="3"/>
      <c r="J9" s="3"/>
      <c r="K9" s="1"/>
    </row>
    <row r="10" spans="1:11" x14ac:dyDescent="0.35">
      <c r="B10" s="3" t="s">
        <v>2</v>
      </c>
      <c r="C10" s="1">
        <f>SUM(C3:C6)/ROWS(C3:C6)</f>
        <v>2.75</v>
      </c>
      <c r="D10" s="1">
        <f>SUM(D3:D6)/ROWS(D3:D6)</f>
        <v>6</v>
      </c>
      <c r="E10" s="3"/>
      <c r="F10" s="3"/>
      <c r="G10" s="3"/>
      <c r="H10" s="3"/>
      <c r="I10" s="3"/>
      <c r="J10" s="3"/>
      <c r="K10" s="1"/>
    </row>
    <row r="11" spans="1:11" x14ac:dyDescent="0.35">
      <c r="B11" s="3"/>
      <c r="C11" s="1">
        <f>AVERAGE(C3:C9)</f>
        <v>2.75</v>
      </c>
      <c r="D11" s="1">
        <f>AVERAGE(D3:D9)</f>
        <v>6</v>
      </c>
      <c r="E11" s="3"/>
      <c r="F11" s="3"/>
      <c r="G11" s="3"/>
      <c r="H11" s="3"/>
      <c r="I11" s="3"/>
      <c r="J11" s="3"/>
      <c r="K11" s="1"/>
    </row>
    <row r="12" spans="1:11" x14ac:dyDescent="0.35">
      <c r="B12" s="3" t="s">
        <v>9</v>
      </c>
      <c r="C12" s="3"/>
      <c r="D12" s="3"/>
      <c r="E12" s="3"/>
      <c r="F12" s="3"/>
      <c r="G12" s="3">
        <f>SUM(G3:G9)</f>
        <v>9</v>
      </c>
      <c r="H12" s="3">
        <f>SUM(H3:H9)</f>
        <v>8.75</v>
      </c>
      <c r="I12" s="3"/>
      <c r="J12" s="3"/>
      <c r="K12" s="1">
        <f>SUM(K3:K9)</f>
        <v>0.74285714285714233</v>
      </c>
    </row>
    <row r="13" spans="1:11" x14ac:dyDescent="0.35">
      <c r="B13" s="3" t="s">
        <v>10</v>
      </c>
      <c r="C13" s="3"/>
      <c r="D13" s="3"/>
      <c r="E13" s="3"/>
      <c r="F13" s="3"/>
      <c r="G13" s="3">
        <f>G12/H12</f>
        <v>1.0285714285714285</v>
      </c>
      <c r="H13" s="3"/>
      <c r="I13" s="3"/>
      <c r="J13" s="3"/>
      <c r="K13" s="1"/>
    </row>
    <row r="14" spans="1:11" x14ac:dyDescent="0.35">
      <c r="B14" s="3" t="s">
        <v>11</v>
      </c>
      <c r="C14" s="3"/>
      <c r="D14" s="3"/>
      <c r="E14" s="3"/>
      <c r="F14" s="3"/>
      <c r="G14" s="3">
        <f>D10-G13*C10</f>
        <v>3.1714285714285717</v>
      </c>
      <c r="H14" s="3"/>
      <c r="I14" s="3"/>
      <c r="J14" s="3"/>
      <c r="K14" s="1"/>
    </row>
    <row r="19" spans="1:11" x14ac:dyDescent="0.35">
      <c r="A19" t="s">
        <v>29</v>
      </c>
      <c r="B19" s="3"/>
      <c r="C19" s="3"/>
      <c r="D19" s="3"/>
      <c r="E19" s="3" t="s">
        <v>5</v>
      </c>
      <c r="F19" s="3" t="s">
        <v>6</v>
      </c>
      <c r="G19" s="3"/>
      <c r="H19" s="3"/>
      <c r="I19" s="3"/>
      <c r="J19" s="1" t="s">
        <v>19</v>
      </c>
      <c r="K19" s="1"/>
    </row>
    <row r="20" spans="1:11" x14ac:dyDescent="0.35">
      <c r="B20" s="3" t="s">
        <v>28</v>
      </c>
      <c r="C20" s="1" t="s">
        <v>0</v>
      </c>
      <c r="D20" s="1" t="s">
        <v>1</v>
      </c>
      <c r="E20" s="1" t="s">
        <v>3</v>
      </c>
      <c r="F20" s="1" t="s">
        <v>4</v>
      </c>
      <c r="G20" s="2" t="s">
        <v>7</v>
      </c>
      <c r="H20" s="2" t="s">
        <v>8</v>
      </c>
      <c r="I20" s="2" t="s">
        <v>14</v>
      </c>
      <c r="J20" s="3" t="s">
        <v>18</v>
      </c>
      <c r="K20" s="1" t="s">
        <v>20</v>
      </c>
    </row>
    <row r="21" spans="1:11" x14ac:dyDescent="0.35">
      <c r="B21" s="3">
        <f>$G$14+$G$13*C21</f>
        <v>4.2</v>
      </c>
      <c r="C21" s="6">
        <v>1</v>
      </c>
      <c r="D21" s="6">
        <v>4</v>
      </c>
      <c r="E21" s="6">
        <f>C21-$C$28</f>
        <v>-5.8571428571428568</v>
      </c>
      <c r="F21" s="6">
        <f>D21-$D$28</f>
        <v>-2.4285714285714288</v>
      </c>
      <c r="G21" s="7">
        <f>E21*F21</f>
        <v>14.224489795918368</v>
      </c>
      <c r="H21" s="7">
        <f>E21*E21</f>
        <v>34.306122448979586</v>
      </c>
      <c r="I21" s="7">
        <f>$G$32+$G$31*C21</f>
        <v>5.7923322683706076</v>
      </c>
      <c r="J21" s="7">
        <f>I21-D21</f>
        <v>1.7923322683706076</v>
      </c>
      <c r="K21" s="6">
        <f>J21*J21</f>
        <v>3.2124549602425274</v>
      </c>
    </row>
    <row r="22" spans="1:11" x14ac:dyDescent="0.35">
      <c r="B22" s="3">
        <f>$G$14+$G$13*C22</f>
        <v>5.2285714285714286</v>
      </c>
      <c r="C22" s="6">
        <v>2</v>
      </c>
      <c r="D22" s="6">
        <v>5</v>
      </c>
      <c r="E22" s="6">
        <f t="shared" ref="E22:E27" si="5">C22-$C$28</f>
        <v>-4.8571428571428568</v>
      </c>
      <c r="F22" s="6">
        <f t="shared" ref="F22:F27" si="6">D22-$D$28</f>
        <v>-1.4285714285714288</v>
      </c>
      <c r="G22" s="7">
        <f t="shared" ref="G22:G27" si="7">E22*F22</f>
        <v>6.9387755102040822</v>
      </c>
      <c r="H22" s="7">
        <f>E22*E22</f>
        <v>23.591836734693874</v>
      </c>
      <c r="I22" s="7">
        <f t="shared" ref="I22:I27" si="8">$G$32+$G$31*C22</f>
        <v>5.9009584664536741</v>
      </c>
      <c r="J22" s="7">
        <f t="shared" ref="J22:J27" si="9">I22-D22</f>
        <v>0.90095846645367406</v>
      </c>
      <c r="K22" s="6">
        <f t="shared" ref="K22:K27" si="10">J22*J22</f>
        <v>0.81172615827455608</v>
      </c>
    </row>
    <row r="23" spans="1:11" x14ac:dyDescent="0.35">
      <c r="B23" s="3">
        <f>$G$14+$G$13*C23</f>
        <v>6.2571428571428571</v>
      </c>
      <c r="C23" s="6">
        <v>3</v>
      </c>
      <c r="D23" s="6">
        <v>7</v>
      </c>
      <c r="E23" s="6">
        <f t="shared" si="5"/>
        <v>-3.8571428571428568</v>
      </c>
      <c r="F23" s="6">
        <f t="shared" si="6"/>
        <v>0.57142857142857117</v>
      </c>
      <c r="G23" s="7">
        <f t="shared" si="7"/>
        <v>-2.2040816326530601</v>
      </c>
      <c r="H23" s="7">
        <f>E23*E23</f>
        <v>14.877551020408161</v>
      </c>
      <c r="I23" s="7">
        <f t="shared" si="8"/>
        <v>6.0095846645367414</v>
      </c>
      <c r="J23" s="7">
        <f t="shared" si="9"/>
        <v>-0.99041533546325855</v>
      </c>
      <c r="K23" s="6">
        <f t="shared" si="10"/>
        <v>0.98092253672079899</v>
      </c>
    </row>
    <row r="24" spans="1:11" x14ac:dyDescent="0.35">
      <c r="B24" s="3">
        <f t="shared" ref="B24:B27" si="11">$G$14+$G$13*C24</f>
        <v>8.3142857142857132</v>
      </c>
      <c r="C24" s="6">
        <v>5</v>
      </c>
      <c r="D24" s="6">
        <v>8</v>
      </c>
      <c r="E24" s="6">
        <f t="shared" si="5"/>
        <v>-1.8571428571428568</v>
      </c>
      <c r="F24" s="6">
        <f t="shared" si="6"/>
        <v>1.5714285714285712</v>
      </c>
      <c r="G24" s="7">
        <f t="shared" si="7"/>
        <v>-2.9183673469387745</v>
      </c>
      <c r="H24" s="7">
        <f t="shared" ref="H24" si="12">E24*E24</f>
        <v>3.4489795918367334</v>
      </c>
      <c r="I24" s="7">
        <f t="shared" si="8"/>
        <v>6.2268370607028762</v>
      </c>
      <c r="J24" s="7">
        <f t="shared" si="9"/>
        <v>-1.7731629392971238</v>
      </c>
      <c r="K24" s="6">
        <f t="shared" si="10"/>
        <v>3.1441068092968156</v>
      </c>
    </row>
    <row r="25" spans="1:11" x14ac:dyDescent="0.35">
      <c r="B25" s="3">
        <f t="shared" si="11"/>
        <v>13.457142857142856</v>
      </c>
      <c r="C25" s="1">
        <v>10</v>
      </c>
      <c r="D25" s="1">
        <v>7</v>
      </c>
      <c r="E25" s="1">
        <f t="shared" si="5"/>
        <v>3.1428571428571432</v>
      </c>
      <c r="F25" s="1">
        <f t="shared" si="6"/>
        <v>0.57142857142857117</v>
      </c>
      <c r="G25" s="3">
        <f t="shared" si="7"/>
        <v>1.7959183673469381</v>
      </c>
      <c r="H25" s="3">
        <f>E25*E25</f>
        <v>9.8775510204081662</v>
      </c>
      <c r="I25" s="3">
        <f t="shared" si="8"/>
        <v>6.7699680511182114</v>
      </c>
      <c r="J25" s="3">
        <f t="shared" si="9"/>
        <v>-0.23003194888178857</v>
      </c>
      <c r="K25" s="1">
        <f t="shared" si="10"/>
        <v>5.2914697506353789E-2</v>
      </c>
    </row>
    <row r="26" spans="1:11" x14ac:dyDescent="0.35">
      <c r="B26" s="3">
        <f t="shared" si="11"/>
        <v>15.514285714285712</v>
      </c>
      <c r="C26" s="1">
        <v>12</v>
      </c>
      <c r="D26" s="1">
        <v>9</v>
      </c>
      <c r="E26" s="1">
        <f t="shared" si="5"/>
        <v>5.1428571428571432</v>
      </c>
      <c r="F26" s="1">
        <f t="shared" si="6"/>
        <v>2.5714285714285712</v>
      </c>
      <c r="G26" s="3">
        <f t="shared" si="7"/>
        <v>13.224489795918368</v>
      </c>
      <c r="H26" s="3">
        <f>E26*E26</f>
        <v>26.448979591836739</v>
      </c>
      <c r="I26" s="3">
        <f t="shared" si="8"/>
        <v>6.9872204472843453</v>
      </c>
      <c r="J26" s="3">
        <f t="shared" si="9"/>
        <v>-2.0127795527156547</v>
      </c>
      <c r="K26" s="1">
        <f t="shared" si="10"/>
        <v>4.0512815278302305</v>
      </c>
    </row>
    <row r="27" spans="1:11" x14ac:dyDescent="0.35">
      <c r="B27" s="3">
        <f t="shared" si="11"/>
        <v>18.599999999999998</v>
      </c>
      <c r="C27" s="1">
        <v>15</v>
      </c>
      <c r="D27" s="1">
        <v>5</v>
      </c>
      <c r="E27" s="1">
        <f t="shared" si="5"/>
        <v>8.1428571428571423</v>
      </c>
      <c r="F27" s="1">
        <f t="shared" si="6"/>
        <v>-1.4285714285714288</v>
      </c>
      <c r="G27" s="3">
        <f t="shared" si="7"/>
        <v>-11.632653061224492</v>
      </c>
      <c r="H27" s="3">
        <f>E27*E27</f>
        <v>66.306122448979579</v>
      </c>
      <c r="I27" s="3">
        <f t="shared" si="8"/>
        <v>7.3130990415335475</v>
      </c>
      <c r="J27" s="3">
        <f t="shared" si="9"/>
        <v>2.3130990415335475</v>
      </c>
      <c r="K27" s="1">
        <f t="shared" si="10"/>
        <v>5.3504271759434161</v>
      </c>
    </row>
    <row r="28" spans="1:11" x14ac:dyDescent="0.35">
      <c r="B28" s="3" t="s">
        <v>2</v>
      </c>
      <c r="C28" s="1">
        <f>SUM(C21:C27)/ROWS(C21:C27)</f>
        <v>6.8571428571428568</v>
      </c>
      <c r="D28" s="1">
        <f>SUM(D21:D27)/ROWS(D21:D27)</f>
        <v>6.4285714285714288</v>
      </c>
      <c r="E28" s="3"/>
      <c r="F28" s="3"/>
      <c r="G28" s="3"/>
      <c r="H28" s="3"/>
      <c r="I28" s="3"/>
      <c r="J28" s="3"/>
      <c r="K28" s="1"/>
    </row>
    <row r="29" spans="1:11" x14ac:dyDescent="0.35">
      <c r="B29" s="3"/>
      <c r="C29" s="1">
        <f>AVERAGE(C21:C27)</f>
        <v>6.8571428571428568</v>
      </c>
      <c r="D29" s="1">
        <f>AVERAGE(D21:D27)</f>
        <v>6.4285714285714288</v>
      </c>
      <c r="E29" s="3"/>
      <c r="F29" s="3"/>
      <c r="G29" s="3"/>
      <c r="H29" s="3"/>
      <c r="I29" s="3"/>
      <c r="J29" s="3"/>
      <c r="K29" s="1"/>
    </row>
    <row r="30" spans="1:11" x14ac:dyDescent="0.35">
      <c r="B30" s="3" t="s">
        <v>9</v>
      </c>
      <c r="C30" s="3"/>
      <c r="D30" s="3"/>
      <c r="E30" s="3"/>
      <c r="F30" s="3"/>
      <c r="G30" s="3">
        <f>SUM(G21:G27)</f>
        <v>19.428571428571434</v>
      </c>
      <c r="H30" s="3">
        <f>SUM(H21:H27)</f>
        <v>178.85714285714283</v>
      </c>
      <c r="I30" s="3"/>
      <c r="J30" s="3"/>
      <c r="K30" s="1">
        <f>SUM(K21:K27)</f>
        <v>17.6038338658147</v>
      </c>
    </row>
    <row r="31" spans="1:11" x14ac:dyDescent="0.35">
      <c r="B31" s="3" t="s">
        <v>10</v>
      </c>
      <c r="C31" s="3"/>
      <c r="D31" s="3"/>
      <c r="E31" s="3"/>
      <c r="F31" s="3"/>
      <c r="G31" s="3">
        <f>G30/H30</f>
        <v>0.10862619808306714</v>
      </c>
      <c r="H31" s="3"/>
      <c r="I31" s="3"/>
      <c r="J31" s="3"/>
      <c r="K31" s="1"/>
    </row>
    <row r="32" spans="1:11" x14ac:dyDescent="0.35">
      <c r="B32" s="3" t="s">
        <v>11</v>
      </c>
      <c r="C32" s="3"/>
      <c r="D32" s="3"/>
      <c r="E32" s="3"/>
      <c r="F32" s="3"/>
      <c r="G32" s="3">
        <f>D28-G31*C28</f>
        <v>5.6837060702875402</v>
      </c>
      <c r="H32" s="3"/>
      <c r="I32" s="3"/>
      <c r="J32" s="3"/>
      <c r="K32" s="1"/>
    </row>
    <row r="37" spans="1:11" x14ac:dyDescent="0.35">
      <c r="A37" t="s">
        <v>28</v>
      </c>
      <c r="B37" s="3"/>
      <c r="C37" s="3"/>
      <c r="D37" s="3"/>
      <c r="E37" s="3"/>
      <c r="F37" s="3" t="s">
        <v>5</v>
      </c>
      <c r="G37" s="3"/>
      <c r="H37" s="9"/>
      <c r="I37" s="9"/>
      <c r="J37" s="10"/>
      <c r="K37" s="10"/>
    </row>
    <row r="38" spans="1:11" x14ac:dyDescent="0.35">
      <c r="B38" s="3"/>
      <c r="C38" s="1" t="s">
        <v>0</v>
      </c>
      <c r="D38" s="1" t="s">
        <v>1</v>
      </c>
      <c r="E38" s="1" t="s">
        <v>14</v>
      </c>
      <c r="F38" s="1" t="s">
        <v>27</v>
      </c>
      <c r="G38" s="2" t="s">
        <v>26</v>
      </c>
      <c r="H38" s="11"/>
      <c r="I38" s="11"/>
      <c r="J38" s="9"/>
      <c r="K38" s="10"/>
    </row>
    <row r="39" spans="1:11" x14ac:dyDescent="0.35">
      <c r="B39" s="3"/>
      <c r="C39" s="6">
        <v>1</v>
      </c>
      <c r="D39" s="6">
        <v>4</v>
      </c>
      <c r="E39" s="6">
        <f>$C$47+$C$46*C39</f>
        <v>4.1999998661377145</v>
      </c>
      <c r="F39" s="6">
        <f>D39-E39</f>
        <v>-0.19999986613771448</v>
      </c>
      <c r="G39" s="7">
        <f>F39*F39</f>
        <v>3.9999946455103713E-2</v>
      </c>
      <c r="H39" s="12"/>
      <c r="I39" s="12"/>
      <c r="J39" s="12"/>
      <c r="K39" s="13"/>
    </row>
    <row r="40" spans="1:11" x14ac:dyDescent="0.35">
      <c r="B40" s="3"/>
      <c r="C40" s="6">
        <v>2</v>
      </c>
      <c r="D40" s="6">
        <v>5</v>
      </c>
      <c r="E40" s="6">
        <f>$C$47+$C$46*C40</f>
        <v>5.2285712266192679</v>
      </c>
      <c r="F40" s="6">
        <f>D40-E40</f>
        <v>-0.22857122661926788</v>
      </c>
      <c r="G40" s="7">
        <f>F40*F40</f>
        <v>5.2244805638236712E-2</v>
      </c>
      <c r="H40" s="12"/>
      <c r="I40" s="12"/>
      <c r="J40" s="12"/>
      <c r="K40" s="13"/>
    </row>
    <row r="41" spans="1:11" x14ac:dyDescent="0.35">
      <c r="B41" s="3"/>
      <c r="C41" s="6">
        <v>3</v>
      </c>
      <c r="D41" s="6">
        <v>7</v>
      </c>
      <c r="E41" s="6">
        <f>$C$47+$C$46*C41</f>
        <v>6.2571425871008213</v>
      </c>
      <c r="F41" s="6">
        <f>D41-E41</f>
        <v>0.74285741289917873</v>
      </c>
      <c r="G41" s="7">
        <f>F41*F41</f>
        <v>0.55183713589926087</v>
      </c>
      <c r="H41" s="12"/>
      <c r="I41" s="12"/>
      <c r="J41" s="12"/>
      <c r="K41" s="13"/>
    </row>
    <row r="42" spans="1:11" x14ac:dyDescent="0.35">
      <c r="B42" s="3"/>
      <c r="C42" s="6">
        <v>5</v>
      </c>
      <c r="D42" s="6">
        <v>8</v>
      </c>
      <c r="E42" s="6">
        <f>$C$47+$C$46*C42</f>
        <v>8.3142853080639281</v>
      </c>
      <c r="F42" s="6">
        <f>D42-E42</f>
        <v>-0.31428530806392807</v>
      </c>
      <c r="G42" s="7">
        <f>F42*F42</f>
        <v>9.8775254864838166E-2</v>
      </c>
      <c r="H42" s="12"/>
      <c r="I42" s="12"/>
      <c r="J42" s="12"/>
      <c r="K42" s="13"/>
    </row>
    <row r="43" spans="1:11" x14ac:dyDescent="0.35">
      <c r="B43" s="3"/>
      <c r="C43" s="1"/>
      <c r="D43" s="1"/>
      <c r="E43" s="1"/>
      <c r="F43" s="1"/>
      <c r="G43" s="3"/>
      <c r="H43" s="9"/>
      <c r="I43" s="9"/>
      <c r="J43" s="9"/>
      <c r="K43" s="10"/>
    </row>
    <row r="44" spans="1:11" x14ac:dyDescent="0.35">
      <c r="B44" s="3"/>
      <c r="C44" s="1"/>
      <c r="D44" s="1"/>
      <c r="E44" s="3"/>
      <c r="F44" s="3"/>
      <c r="G44" s="3"/>
      <c r="H44" s="9"/>
      <c r="I44" s="9"/>
      <c r="J44" s="9"/>
      <c r="K44" s="10"/>
    </row>
    <row r="45" spans="1:11" x14ac:dyDescent="0.35">
      <c r="B45" s="3" t="s">
        <v>9</v>
      </c>
      <c r="C45" s="3"/>
      <c r="D45" s="3"/>
      <c r="E45" s="3"/>
      <c r="F45" s="3"/>
      <c r="G45" s="3">
        <f>SUM(G39:G42)</f>
        <v>0.74285714285743953</v>
      </c>
      <c r="H45" s="9"/>
      <c r="I45" s="9"/>
      <c r="J45" s="9"/>
      <c r="K45" s="10"/>
    </row>
    <row r="46" spans="1:11" x14ac:dyDescent="0.35">
      <c r="B46" s="3" t="s">
        <v>10</v>
      </c>
      <c r="C46" s="3">
        <v>1.0285713604815536</v>
      </c>
      <c r="D46" s="3"/>
      <c r="E46" s="3"/>
      <c r="F46" s="3"/>
      <c r="G46" s="3"/>
      <c r="H46" s="9"/>
      <c r="I46" s="9"/>
      <c r="J46" s="9"/>
      <c r="K46" s="10"/>
    </row>
    <row r="47" spans="1:11" x14ac:dyDescent="0.35">
      <c r="B47" s="3" t="s">
        <v>11</v>
      </c>
      <c r="C47" s="3">
        <v>3.1714285056561606</v>
      </c>
      <c r="D47" s="3"/>
      <c r="E47" s="3"/>
      <c r="F47" s="3"/>
      <c r="G47" s="3"/>
      <c r="H47" s="9"/>
      <c r="I47" s="9"/>
      <c r="J47" s="9"/>
      <c r="K47" s="10"/>
    </row>
    <row r="49" spans="1:8" x14ac:dyDescent="0.35">
      <c r="A49" t="s">
        <v>32</v>
      </c>
    </row>
    <row r="50" spans="1:8" x14ac:dyDescent="0.35">
      <c r="A50" t="s">
        <v>30</v>
      </c>
      <c r="B50" s="3"/>
      <c r="C50" s="3"/>
      <c r="D50" s="3"/>
      <c r="E50" s="3"/>
      <c r="F50" s="3" t="s">
        <v>6</v>
      </c>
      <c r="G50" s="3" t="s">
        <v>12</v>
      </c>
      <c r="H50" s="3" t="s">
        <v>22</v>
      </c>
    </row>
    <row r="51" spans="1:8" x14ac:dyDescent="0.35">
      <c r="B51" s="3" t="s">
        <v>28</v>
      </c>
      <c r="C51" s="1" t="s">
        <v>0</v>
      </c>
      <c r="D51" s="1" t="s">
        <v>13</v>
      </c>
      <c r="E51" s="1" t="s">
        <v>14</v>
      </c>
      <c r="F51" s="4" t="s">
        <v>17</v>
      </c>
      <c r="G51" s="2"/>
      <c r="H51" s="2"/>
    </row>
    <row r="52" spans="1:8" x14ac:dyDescent="0.35">
      <c r="B52" s="3">
        <f>I3</f>
        <v>4.2</v>
      </c>
      <c r="C52" s="6">
        <v>1</v>
      </c>
      <c r="D52" s="6">
        <v>4</v>
      </c>
      <c r="E52" s="6">
        <f>$C$63+$C$62*C52</f>
        <v>4.3846169229296468</v>
      </c>
      <c r="F52" s="6">
        <f>D52-E52</f>
        <v>-0.38461692292964678</v>
      </c>
      <c r="G52" s="7">
        <f>F52*F52</f>
        <v>0.14793017740386985</v>
      </c>
      <c r="H52" s="3"/>
    </row>
    <row r="53" spans="1:8" x14ac:dyDescent="0.35">
      <c r="B53" s="3">
        <f>I4</f>
        <v>5.2285714285714286</v>
      </c>
      <c r="C53" s="6">
        <v>2</v>
      </c>
      <c r="D53" s="6">
        <v>5</v>
      </c>
      <c r="E53" s="6">
        <f>$C$63+$C$62*C53</f>
        <v>5.307693226737439</v>
      </c>
      <c r="F53" s="6">
        <f t="shared" ref="F53:F58" si="13">D53-E53</f>
        <v>-0.30769322673743904</v>
      </c>
      <c r="G53" s="7">
        <f t="shared" ref="G53:G58" si="14">F53*F53</f>
        <v>9.4675121780097071E-2</v>
      </c>
      <c r="H53" s="3"/>
    </row>
    <row r="54" spans="1:8" x14ac:dyDescent="0.35">
      <c r="B54" s="3">
        <f>I5</f>
        <v>6.2571428571428571</v>
      </c>
      <c r="C54" s="6">
        <v>3</v>
      </c>
      <c r="D54" s="6">
        <v>7</v>
      </c>
      <c r="E54" s="6">
        <f t="shared" ref="E53:E58" si="15">$C$63+$C$62*C54</f>
        <v>6.2307695305452313</v>
      </c>
      <c r="F54" s="6">
        <f t="shared" si="13"/>
        <v>0.76923046945476869</v>
      </c>
      <c r="G54" s="7">
        <f t="shared" si="14"/>
        <v>0.59171551513760379</v>
      </c>
      <c r="H54" s="3"/>
    </row>
    <row r="55" spans="1:8" x14ac:dyDescent="0.35">
      <c r="B55" s="3">
        <f>I6</f>
        <v>8.3142857142857132</v>
      </c>
      <c r="C55" s="6">
        <v>5</v>
      </c>
      <c r="D55" s="6">
        <v>8</v>
      </c>
      <c r="E55" s="6">
        <f t="shared" si="15"/>
        <v>8.0769221381608176</v>
      </c>
      <c r="F55" s="6">
        <f t="shared" si="13"/>
        <v>-7.692213816081761E-2</v>
      </c>
      <c r="G55" s="7">
        <f t="shared" si="14"/>
        <v>5.9170153392319128E-3</v>
      </c>
      <c r="H55" s="3"/>
    </row>
    <row r="56" spans="1:8" x14ac:dyDescent="0.35">
      <c r="B56" s="3"/>
      <c r="C56" s="1"/>
      <c r="D56" s="1"/>
      <c r="E56" s="1"/>
      <c r="F56" s="1"/>
      <c r="G56" s="3"/>
      <c r="H56" s="3">
        <f>C62*C62*C64</f>
        <v>1.7041397253029116</v>
      </c>
    </row>
    <row r="57" spans="1:8" x14ac:dyDescent="0.35">
      <c r="B57" s="3"/>
      <c r="C57" s="1"/>
      <c r="D57" s="1"/>
      <c r="E57" s="1"/>
      <c r="F57" s="1"/>
      <c r="G57" s="3"/>
      <c r="H57" s="3"/>
    </row>
    <row r="58" spans="1:8" x14ac:dyDescent="0.35">
      <c r="B58" s="3"/>
      <c r="C58" s="1"/>
      <c r="D58" s="1"/>
      <c r="E58" s="1"/>
      <c r="F58" s="1"/>
      <c r="G58" s="3"/>
      <c r="H58" s="3"/>
    </row>
    <row r="59" spans="1:8" x14ac:dyDescent="0.35">
      <c r="B59" s="3"/>
      <c r="C59" s="1"/>
      <c r="D59" s="1"/>
      <c r="E59" s="3"/>
      <c r="F59" s="3"/>
      <c r="G59" s="3"/>
      <c r="H59" s="3"/>
    </row>
    <row r="60" spans="1:8" x14ac:dyDescent="0.35">
      <c r="B60" s="3" t="s">
        <v>23</v>
      </c>
      <c r="C60" s="1"/>
      <c r="D60" s="1"/>
      <c r="E60" s="3"/>
      <c r="F60" s="3"/>
      <c r="G60" s="3">
        <f>SUM(G52:G55)</f>
        <v>0.84023782966080263</v>
      </c>
      <c r="H60" s="3">
        <f>H56</f>
        <v>1.7041397253029116</v>
      </c>
    </row>
    <row r="61" spans="1:8" x14ac:dyDescent="0.35">
      <c r="B61" s="3" t="s">
        <v>24</v>
      </c>
      <c r="C61" s="3"/>
      <c r="D61" s="3"/>
      <c r="E61" s="3"/>
      <c r="F61" s="3"/>
      <c r="G61" s="3"/>
      <c r="H61" s="3">
        <f>H60+G60</f>
        <v>2.544377554963714</v>
      </c>
    </row>
    <row r="62" spans="1:8" x14ac:dyDescent="0.35">
      <c r="B62" s="3" t="s">
        <v>10</v>
      </c>
      <c r="C62" s="3">
        <v>0.92307630380779238</v>
      </c>
      <c r="D62" s="3"/>
      <c r="E62" s="3"/>
      <c r="F62" s="3"/>
      <c r="G62" s="3"/>
      <c r="H62" s="3"/>
    </row>
    <row r="63" spans="1:8" x14ac:dyDescent="0.35">
      <c r="B63" s="3" t="s">
        <v>11</v>
      </c>
      <c r="C63" s="3">
        <v>3.4615406191218545</v>
      </c>
      <c r="D63" s="3"/>
      <c r="E63" s="3"/>
      <c r="F63" s="3"/>
      <c r="G63" s="3"/>
      <c r="H63" s="3"/>
    </row>
    <row r="64" spans="1:8" x14ac:dyDescent="0.35">
      <c r="B64" s="8" t="s">
        <v>21</v>
      </c>
      <c r="C64" s="3">
        <v>2</v>
      </c>
      <c r="D64" s="3"/>
      <c r="E64" s="3"/>
      <c r="F64" s="3"/>
      <c r="G64" s="3"/>
      <c r="H64" s="3"/>
    </row>
    <row r="72" spans="1:9" x14ac:dyDescent="0.35">
      <c r="A72" t="s">
        <v>32</v>
      </c>
    </row>
    <row r="74" spans="1:9" x14ac:dyDescent="0.35">
      <c r="B74" s="3" t="s">
        <v>28</v>
      </c>
      <c r="C74" s="3" t="s">
        <v>30</v>
      </c>
      <c r="D74" s="3"/>
      <c r="E74" s="3"/>
      <c r="F74" s="3"/>
      <c r="G74" s="3" t="s">
        <v>6</v>
      </c>
      <c r="H74" s="3" t="s">
        <v>12</v>
      </c>
      <c r="I74" s="3" t="s">
        <v>22</v>
      </c>
    </row>
    <row r="75" spans="1:9" x14ac:dyDescent="0.35">
      <c r="B75" s="3"/>
      <c r="C75" s="3" t="s">
        <v>25</v>
      </c>
      <c r="D75" s="1" t="s">
        <v>0</v>
      </c>
      <c r="E75" s="1" t="s">
        <v>13</v>
      </c>
      <c r="F75" s="1" t="s">
        <v>14</v>
      </c>
      <c r="G75" s="4" t="s">
        <v>17</v>
      </c>
      <c r="H75" s="2"/>
      <c r="I75" s="2"/>
    </row>
    <row r="76" spans="1:9" x14ac:dyDescent="0.35">
      <c r="B76" s="3">
        <f>B21</f>
        <v>4.2</v>
      </c>
      <c r="C76" s="3">
        <f>$C$63+$C$62*D76</f>
        <v>4.3846169229296468</v>
      </c>
      <c r="D76" s="1">
        <v>1</v>
      </c>
      <c r="E76" s="1">
        <v>4</v>
      </c>
      <c r="F76" s="1">
        <f>$D$87+$D$86*D76</f>
        <v>5.795885266213352</v>
      </c>
      <c r="G76" s="1">
        <f>E76-F76</f>
        <v>-1.795885266213352</v>
      </c>
      <c r="H76" s="3">
        <f>G76*G76</f>
        <v>3.2252038894022022</v>
      </c>
      <c r="I76" s="3"/>
    </row>
    <row r="77" spans="1:9" x14ac:dyDescent="0.35">
      <c r="B77" s="3">
        <f>B22</f>
        <v>5.2285714285714286</v>
      </c>
      <c r="C77" s="3">
        <f t="shared" ref="C77:C82" si="16">$C$63+$C$62*D77</f>
        <v>5.307693226737439</v>
      </c>
      <c r="D77" s="1">
        <v>2</v>
      </c>
      <c r="E77" s="1">
        <v>5</v>
      </c>
      <c r="F77" s="1">
        <f>$D$87+$D$86*D77</f>
        <v>5.9039058828357955</v>
      </c>
      <c r="G77" s="1">
        <f t="shared" ref="G77:G82" si="17">E77-F77</f>
        <v>-0.90390588283579554</v>
      </c>
      <c r="H77" s="3">
        <f t="shared" ref="H77:H82" si="18">G77*G77</f>
        <v>0.81704584502515898</v>
      </c>
      <c r="I77" s="3"/>
    </row>
    <row r="78" spans="1:9" x14ac:dyDescent="0.35">
      <c r="B78" s="3">
        <f>B23</f>
        <v>6.2571428571428571</v>
      </c>
      <c r="C78" s="3">
        <f t="shared" si="16"/>
        <v>6.2307695305452313</v>
      </c>
      <c r="D78" s="1">
        <v>3</v>
      </c>
      <c r="E78" s="1">
        <v>7</v>
      </c>
      <c r="F78" s="1">
        <f>$D$87+$D$86*D78</f>
        <v>6.01192649945824</v>
      </c>
      <c r="G78" s="1">
        <f t="shared" si="17"/>
        <v>0.98807350054176002</v>
      </c>
      <c r="H78" s="3">
        <f t="shared" si="18"/>
        <v>0.97628924247284743</v>
      </c>
      <c r="I78" s="3"/>
    </row>
    <row r="79" spans="1:9" x14ac:dyDescent="0.35">
      <c r="B79" s="3">
        <f>B24</f>
        <v>8.3142857142857132</v>
      </c>
      <c r="C79" s="3">
        <f t="shared" si="16"/>
        <v>8.0769221381608176</v>
      </c>
      <c r="D79" s="1">
        <v>5</v>
      </c>
      <c r="E79" s="1">
        <v>8</v>
      </c>
      <c r="F79" s="1">
        <f>$D$87+$D$86*D79</f>
        <v>6.2279677327031271</v>
      </c>
      <c r="G79" s="1">
        <f t="shared" si="17"/>
        <v>1.7720322672968729</v>
      </c>
      <c r="H79" s="3">
        <f t="shared" si="18"/>
        <v>3.1400983563412961</v>
      </c>
      <c r="I79" s="3"/>
    </row>
    <row r="80" spans="1:9" x14ac:dyDescent="0.35">
      <c r="B80" s="3">
        <f>B25</f>
        <v>13.457142857142856</v>
      </c>
      <c r="C80" s="3">
        <f t="shared" si="16"/>
        <v>12.69230365719978</v>
      </c>
      <c r="D80" s="1">
        <v>10</v>
      </c>
      <c r="E80" s="1">
        <v>7</v>
      </c>
      <c r="F80" s="1">
        <f>$D$87+$D$86*D80</f>
        <v>6.7680708158153458</v>
      </c>
      <c r="G80" s="1">
        <f t="shared" si="17"/>
        <v>0.23192918418465425</v>
      </c>
      <c r="H80" s="3">
        <f t="shared" si="18"/>
        <v>5.3791146476559276E-2</v>
      </c>
      <c r="I80" s="3"/>
    </row>
    <row r="81" spans="1:9" x14ac:dyDescent="0.35">
      <c r="B81" s="3">
        <f>B26</f>
        <v>15.514285714285712</v>
      </c>
      <c r="C81" s="3">
        <f t="shared" si="16"/>
        <v>14.538456264815363</v>
      </c>
      <c r="D81" s="1">
        <v>12</v>
      </c>
      <c r="E81" s="1">
        <v>9</v>
      </c>
      <c r="F81" s="1">
        <f>$D$87+$D$86*D81</f>
        <v>6.9841120490602338</v>
      </c>
      <c r="G81" s="1">
        <f t="shared" si="17"/>
        <v>2.0158879509397662</v>
      </c>
      <c r="H81" s="3">
        <f t="shared" si="18"/>
        <v>4.0638042307441298</v>
      </c>
      <c r="I81" s="3"/>
    </row>
    <row r="82" spans="1:9" x14ac:dyDescent="0.35">
      <c r="B82" s="3">
        <f>B27</f>
        <v>18.599999999999998</v>
      </c>
      <c r="C82" s="3">
        <f t="shared" si="16"/>
        <v>17.307685176238738</v>
      </c>
      <c r="D82" s="1">
        <v>15</v>
      </c>
      <c r="E82" s="1">
        <v>5</v>
      </c>
      <c r="F82" s="1">
        <f>$D$87+$D$86*D82</f>
        <v>7.3081738989275653</v>
      </c>
      <c r="G82" s="1">
        <f t="shared" si="17"/>
        <v>-2.3081738989275653</v>
      </c>
      <c r="H82" s="3">
        <f t="shared" si="18"/>
        <v>5.3276667476904782</v>
      </c>
      <c r="I82" s="3"/>
    </row>
    <row r="83" spans="1:9" x14ac:dyDescent="0.35">
      <c r="B83" s="3"/>
      <c r="C83" s="3"/>
      <c r="D83" s="1"/>
      <c r="E83" s="1"/>
      <c r="F83" s="3"/>
      <c r="G83" s="3"/>
      <c r="H83" s="3"/>
      <c r="I83" s="3"/>
    </row>
    <row r="84" spans="1:9" x14ac:dyDescent="0.35">
      <c r="B84" s="3"/>
      <c r="C84" s="3"/>
      <c r="D84" s="1"/>
      <c r="E84" s="1"/>
      <c r="F84" s="3"/>
      <c r="G84" s="3"/>
      <c r="H84" s="3">
        <f>SUM(H76:H82)</f>
        <v>17.603899458152672</v>
      </c>
      <c r="I84" s="3">
        <f>D86*D86*D88</f>
        <v>2.3336907230985946E-2</v>
      </c>
    </row>
    <row r="85" spans="1:9" x14ac:dyDescent="0.35">
      <c r="B85" s="3"/>
      <c r="C85" s="3" t="s">
        <v>9</v>
      </c>
      <c r="D85" s="3"/>
      <c r="E85" s="3"/>
      <c r="F85" s="3"/>
      <c r="G85" s="3"/>
      <c r="H85" s="3"/>
      <c r="I85" s="3">
        <f>H84+I84</f>
        <v>17.627236365383659</v>
      </c>
    </row>
    <row r="86" spans="1:9" x14ac:dyDescent="0.35">
      <c r="B86" s="3"/>
      <c r="C86" s="3" t="s">
        <v>10</v>
      </c>
      <c r="D86" s="3">
        <v>0.10802061662244376</v>
      </c>
      <c r="E86" s="3"/>
      <c r="F86" s="3"/>
      <c r="G86" s="3"/>
      <c r="H86" s="3"/>
      <c r="I86" s="3"/>
    </row>
    <row r="87" spans="1:9" x14ac:dyDescent="0.35">
      <c r="B87" s="3"/>
      <c r="C87" s="3" t="s">
        <v>11</v>
      </c>
      <c r="D87" s="3">
        <v>5.6878646495909084</v>
      </c>
      <c r="E87" s="3"/>
      <c r="F87" s="3"/>
      <c r="G87" s="3"/>
      <c r="H87" s="3"/>
      <c r="I87" s="3"/>
    </row>
    <row r="88" spans="1:9" x14ac:dyDescent="0.35">
      <c r="B88" s="3"/>
      <c r="C88" s="8" t="s">
        <v>21</v>
      </c>
      <c r="D88" s="3">
        <v>2</v>
      </c>
      <c r="E88" s="3"/>
      <c r="F88" s="3"/>
      <c r="G88" s="3"/>
      <c r="H88" s="3"/>
      <c r="I88" s="3"/>
    </row>
    <row r="93" spans="1:9" x14ac:dyDescent="0.35">
      <c r="A93" t="s">
        <v>31</v>
      </c>
    </row>
    <row r="95" spans="1:9" x14ac:dyDescent="0.35">
      <c r="A95" t="s">
        <v>15</v>
      </c>
      <c r="B95" s="3"/>
      <c r="C95" s="3"/>
      <c r="D95" s="3"/>
      <c r="E95" s="3"/>
      <c r="F95" s="3" t="s">
        <v>6</v>
      </c>
      <c r="G95" s="3" t="s">
        <v>12</v>
      </c>
      <c r="H95" s="3" t="s">
        <v>22</v>
      </c>
    </row>
    <row r="96" spans="1:9" x14ac:dyDescent="0.35">
      <c r="B96" s="3"/>
      <c r="C96" s="1" t="s">
        <v>0</v>
      </c>
      <c r="D96" s="1" t="s">
        <v>13</v>
      </c>
      <c r="E96" s="1" t="s">
        <v>14</v>
      </c>
      <c r="F96" s="4" t="s">
        <v>17</v>
      </c>
      <c r="G96" s="2"/>
      <c r="H96" s="2"/>
    </row>
    <row r="97" spans="1:8" x14ac:dyDescent="0.35">
      <c r="B97" s="3"/>
      <c r="C97" s="1">
        <v>1</v>
      </c>
      <c r="D97" s="1">
        <v>4</v>
      </c>
      <c r="E97" s="1">
        <f>$C$108+$C$107*C97</f>
        <v>5.8087060444679706</v>
      </c>
      <c r="F97" s="1">
        <f>D97-E97</f>
        <v>-1.8087060444679706</v>
      </c>
      <c r="G97" s="3">
        <f>F97*F97</f>
        <v>3.2714175552949722</v>
      </c>
      <c r="H97" s="3"/>
    </row>
    <row r="98" spans="1:8" x14ac:dyDescent="0.35">
      <c r="B98" s="3"/>
      <c r="C98" s="1">
        <v>2</v>
      </c>
      <c r="D98" s="1">
        <v>5</v>
      </c>
      <c r="E98" s="1">
        <f t="shared" ref="E98:E103" si="19">$C$108+$C$107*C98</f>
        <v>5.9145366990520429</v>
      </c>
      <c r="F98" s="1">
        <f t="shared" ref="F98:F103" si="20">D98-E98</f>
        <v>-0.91453669905204293</v>
      </c>
      <c r="G98" s="3">
        <f t="shared" ref="G98:G103" si="21">F98*F98</f>
        <v>0.83637737391300693</v>
      </c>
      <c r="H98" s="3"/>
    </row>
    <row r="99" spans="1:8" x14ac:dyDescent="0.35">
      <c r="B99" s="3"/>
      <c r="C99" s="1">
        <v>3</v>
      </c>
      <c r="D99" s="1">
        <v>7</v>
      </c>
      <c r="E99" s="1">
        <f t="shared" si="19"/>
        <v>6.0203673536361162</v>
      </c>
      <c r="F99" s="1">
        <f t="shared" si="20"/>
        <v>0.97963264636388381</v>
      </c>
      <c r="G99" s="3">
        <f t="shared" si="21"/>
        <v>0.95968012182190621</v>
      </c>
      <c r="H99" s="3"/>
    </row>
    <row r="100" spans="1:8" x14ac:dyDescent="0.35">
      <c r="B100" s="3"/>
      <c r="C100" s="1">
        <v>5</v>
      </c>
      <c r="D100" s="1">
        <v>8</v>
      </c>
      <c r="E100" s="1">
        <f t="shared" si="19"/>
        <v>6.2320286628042609</v>
      </c>
      <c r="F100" s="1">
        <f t="shared" si="20"/>
        <v>1.7679713371957391</v>
      </c>
      <c r="G100" s="3">
        <f t="shared" si="21"/>
        <v>3.1257226491456898</v>
      </c>
      <c r="H100" s="3"/>
    </row>
    <row r="101" spans="1:8" x14ac:dyDescent="0.35">
      <c r="B101" s="3"/>
      <c r="C101" s="1">
        <v>10</v>
      </c>
      <c r="D101" s="1">
        <v>7</v>
      </c>
      <c r="E101" s="1">
        <f t="shared" si="19"/>
        <v>6.7611819357246237</v>
      </c>
      <c r="F101" s="1">
        <f t="shared" si="20"/>
        <v>0.23881806427537633</v>
      </c>
      <c r="G101" s="3">
        <f t="shared" si="21"/>
        <v>5.7034067824237783E-2</v>
      </c>
      <c r="H101" s="3"/>
    </row>
    <row r="102" spans="1:8" x14ac:dyDescent="0.35">
      <c r="B102" s="3"/>
      <c r="C102" s="1">
        <v>12</v>
      </c>
      <c r="D102" s="1">
        <v>9</v>
      </c>
      <c r="E102" s="1">
        <f t="shared" si="19"/>
        <v>6.9728432448927684</v>
      </c>
      <c r="F102" s="1">
        <f t="shared" si="20"/>
        <v>2.0271567551072316</v>
      </c>
      <c r="G102" s="3">
        <f t="shared" si="21"/>
        <v>4.1093645097768805</v>
      </c>
      <c r="H102" s="3"/>
    </row>
    <row r="103" spans="1:8" x14ac:dyDescent="0.35">
      <c r="B103" s="3"/>
      <c r="C103" s="1">
        <v>15</v>
      </c>
      <c r="D103" s="1">
        <v>5</v>
      </c>
      <c r="E103" s="1">
        <f t="shared" si="19"/>
        <v>7.2903352086449864</v>
      </c>
      <c r="F103" s="1">
        <f t="shared" si="20"/>
        <v>-2.2903352086449864</v>
      </c>
      <c r="G103" s="3">
        <f t="shared" si="21"/>
        <v>5.2456353679588732</v>
      </c>
      <c r="H103" s="3"/>
    </row>
    <row r="104" spans="1:8" x14ac:dyDescent="0.35">
      <c r="B104" s="3"/>
      <c r="C104" s="1"/>
      <c r="D104" s="1"/>
      <c r="E104" s="3"/>
      <c r="F104" s="3"/>
      <c r="G104" s="3"/>
      <c r="H104" s="3"/>
    </row>
    <row r="105" spans="1:8" x14ac:dyDescent="0.35">
      <c r="B105" s="3"/>
      <c r="C105" s="1"/>
      <c r="D105" s="1"/>
      <c r="E105" s="3"/>
      <c r="F105" s="3"/>
      <c r="G105" s="3">
        <f>SUM(G97:G103)</f>
        <v>17.605231645735564</v>
      </c>
      <c r="H105" s="3">
        <f>ABS(C107)*C109</f>
        <v>0.21166130916814507</v>
      </c>
    </row>
    <row r="106" spans="1:8" x14ac:dyDescent="0.35">
      <c r="B106" s="3" t="s">
        <v>9</v>
      </c>
      <c r="C106" s="3"/>
      <c r="D106" s="3"/>
      <c r="E106" s="3"/>
      <c r="F106" s="3"/>
      <c r="G106" s="3"/>
      <c r="H106" s="3">
        <f>G105+H105</f>
        <v>17.816892954903711</v>
      </c>
    </row>
    <row r="107" spans="1:8" x14ac:dyDescent="0.35">
      <c r="B107" s="3" t="s">
        <v>10</v>
      </c>
      <c r="C107" s="3">
        <v>0.10583065458407254</v>
      </c>
      <c r="D107" s="3"/>
      <c r="E107" s="3"/>
      <c r="F107" s="3"/>
      <c r="G107" s="3"/>
      <c r="H107" s="3"/>
    </row>
    <row r="108" spans="1:8" x14ac:dyDescent="0.35">
      <c r="B108" s="3" t="s">
        <v>11</v>
      </c>
      <c r="C108" s="3">
        <v>5.7028753898838982</v>
      </c>
      <c r="D108" s="3"/>
      <c r="E108" s="3"/>
      <c r="F108" s="3"/>
      <c r="G108" s="3"/>
      <c r="H108" s="3"/>
    </row>
    <row r="109" spans="1:8" x14ac:dyDescent="0.35">
      <c r="B109" s="8" t="s">
        <v>21</v>
      </c>
      <c r="C109" s="3">
        <v>2</v>
      </c>
      <c r="D109" s="3"/>
      <c r="E109" s="3"/>
      <c r="F109" s="3"/>
      <c r="G109" s="3"/>
      <c r="H109" s="3"/>
    </row>
    <row r="112" spans="1:8" x14ac:dyDescent="0.35">
      <c r="A112" t="s">
        <v>33</v>
      </c>
    </row>
    <row r="113" spans="1:8" x14ac:dyDescent="0.35">
      <c r="A113" t="s">
        <v>16</v>
      </c>
      <c r="B113" s="3"/>
      <c r="C113" s="3"/>
      <c r="D113" s="3"/>
      <c r="E113" s="3"/>
      <c r="F113" s="3" t="s">
        <v>6</v>
      </c>
      <c r="G113" s="3" t="s">
        <v>12</v>
      </c>
      <c r="H113" s="3" t="s">
        <v>22</v>
      </c>
    </row>
    <row r="114" spans="1:8" x14ac:dyDescent="0.35">
      <c r="B114" s="3"/>
      <c r="C114" s="1" t="s">
        <v>0</v>
      </c>
      <c r="D114" s="1" t="s">
        <v>13</v>
      </c>
      <c r="E114" s="1" t="s">
        <v>14</v>
      </c>
      <c r="F114" s="4" t="s">
        <v>17</v>
      </c>
      <c r="G114" s="2"/>
      <c r="H114" s="2"/>
    </row>
    <row r="115" spans="1:8" x14ac:dyDescent="0.35">
      <c r="B115" s="3"/>
      <c r="C115" s="1">
        <v>1</v>
      </c>
      <c r="D115" s="1">
        <v>4</v>
      </c>
      <c r="E115" s="1">
        <f>$C$108+$C$107*C115</f>
        <v>5.8087060444679706</v>
      </c>
      <c r="F115" s="1">
        <f>D115-E115</f>
        <v>-1.8087060444679706</v>
      </c>
      <c r="G115" s="3">
        <f>F115*F115</f>
        <v>3.2714175552949722</v>
      </c>
      <c r="H115" s="3"/>
    </row>
    <row r="116" spans="1:8" x14ac:dyDescent="0.35">
      <c r="B116" s="3"/>
      <c r="C116" s="1">
        <v>2</v>
      </c>
      <c r="D116" s="1">
        <v>5</v>
      </c>
      <c r="E116" s="1">
        <f t="shared" ref="E116:E121" si="22">$C$108+$C$107*C116</f>
        <v>5.9145366990520429</v>
      </c>
      <c r="F116" s="1">
        <f t="shared" ref="F116:F121" si="23">D116-E116</f>
        <v>-0.91453669905204293</v>
      </c>
      <c r="G116" s="3">
        <f t="shared" ref="G116:G121" si="24">F116*F116</f>
        <v>0.83637737391300693</v>
      </c>
      <c r="H116" s="3"/>
    </row>
    <row r="117" spans="1:8" x14ac:dyDescent="0.35">
      <c r="B117" s="3"/>
      <c r="C117" s="1">
        <v>3</v>
      </c>
      <c r="D117" s="1">
        <v>7</v>
      </c>
      <c r="E117" s="1">
        <f t="shared" si="22"/>
        <v>6.0203673536361162</v>
      </c>
      <c r="F117" s="1">
        <f t="shared" si="23"/>
        <v>0.97963264636388381</v>
      </c>
      <c r="G117" s="3">
        <f t="shared" si="24"/>
        <v>0.95968012182190621</v>
      </c>
      <c r="H117" s="3"/>
    </row>
    <row r="118" spans="1:8" x14ac:dyDescent="0.35">
      <c r="B118" s="3"/>
      <c r="C118" s="1">
        <v>5</v>
      </c>
      <c r="D118" s="1">
        <v>8</v>
      </c>
      <c r="E118" s="1">
        <f t="shared" si="22"/>
        <v>6.2320286628042609</v>
      </c>
      <c r="F118" s="1">
        <f t="shared" si="23"/>
        <v>1.7679713371957391</v>
      </c>
      <c r="G118" s="3">
        <f t="shared" si="24"/>
        <v>3.1257226491456898</v>
      </c>
      <c r="H118" s="3"/>
    </row>
    <row r="119" spans="1:8" x14ac:dyDescent="0.35">
      <c r="B119" s="3"/>
      <c r="C119" s="1">
        <v>10</v>
      </c>
      <c r="D119" s="1">
        <v>7</v>
      </c>
      <c r="E119" s="1">
        <f t="shared" si="22"/>
        <v>6.7611819357246237</v>
      </c>
      <c r="F119" s="1">
        <f t="shared" si="23"/>
        <v>0.23881806427537633</v>
      </c>
      <c r="G119" s="3">
        <f t="shared" si="24"/>
        <v>5.7034067824237783E-2</v>
      </c>
      <c r="H119" s="3"/>
    </row>
    <row r="120" spans="1:8" x14ac:dyDescent="0.35">
      <c r="B120" s="3"/>
      <c r="C120" s="1">
        <v>12</v>
      </c>
      <c r="D120" s="1">
        <v>9</v>
      </c>
      <c r="E120" s="1">
        <f t="shared" si="22"/>
        <v>6.9728432448927684</v>
      </c>
      <c r="F120" s="1">
        <f t="shared" si="23"/>
        <v>2.0271567551072316</v>
      </c>
      <c r="G120" s="3">
        <f t="shared" si="24"/>
        <v>4.1093645097768805</v>
      </c>
      <c r="H120" s="3"/>
    </row>
    <row r="121" spans="1:8" x14ac:dyDescent="0.35">
      <c r="B121" s="3"/>
      <c r="C121" s="1">
        <v>15</v>
      </c>
      <c r="D121" s="1">
        <v>5</v>
      </c>
      <c r="E121" s="1">
        <f t="shared" si="22"/>
        <v>7.2903352086449864</v>
      </c>
      <c r="F121" s="1">
        <f t="shared" si="23"/>
        <v>-2.2903352086449864</v>
      </c>
      <c r="G121" s="3">
        <f t="shared" si="24"/>
        <v>5.2456353679588732</v>
      </c>
      <c r="H121" s="3"/>
    </row>
    <row r="122" spans="1:8" x14ac:dyDescent="0.35">
      <c r="B122" s="3"/>
      <c r="C122" s="1"/>
      <c r="D122" s="1"/>
      <c r="E122" s="3"/>
      <c r="F122" s="3"/>
      <c r="G122" s="3"/>
      <c r="H122" s="3"/>
    </row>
    <row r="123" spans="1:8" x14ac:dyDescent="0.35">
      <c r="B123" s="3"/>
      <c r="C123" s="1"/>
      <c r="D123" s="1"/>
      <c r="E123" s="3"/>
      <c r="F123" s="3"/>
      <c r="G123" s="3">
        <f>SUM(G115:G121)</f>
        <v>17.605231645735564</v>
      </c>
      <c r="H123" s="3">
        <f>ABS(C125)*C127</f>
        <v>0.21166130916814507</v>
      </c>
    </row>
    <row r="124" spans="1:8" x14ac:dyDescent="0.35">
      <c r="B124" s="3" t="s">
        <v>9</v>
      </c>
      <c r="C124" s="3"/>
      <c r="D124" s="3"/>
      <c r="E124" s="3"/>
      <c r="F124" s="3"/>
      <c r="G124" s="3"/>
      <c r="H124" s="3">
        <f>C125*C125*C128</f>
        <v>3.3600382349079819E-2</v>
      </c>
    </row>
    <row r="125" spans="1:8" x14ac:dyDescent="0.35">
      <c r="B125" s="3" t="s">
        <v>10</v>
      </c>
      <c r="C125" s="3">
        <v>0.10583065458407254</v>
      </c>
      <c r="D125" s="3"/>
      <c r="E125" s="3"/>
      <c r="F125" s="3"/>
      <c r="G125" s="3"/>
      <c r="H125" s="3">
        <f>G123+H123+H124</f>
        <v>17.850493337252789</v>
      </c>
    </row>
    <row r="126" spans="1:8" x14ac:dyDescent="0.35">
      <c r="B126" s="3" t="s">
        <v>11</v>
      </c>
      <c r="C126" s="3">
        <v>5.7028753898838982</v>
      </c>
      <c r="D126" s="3"/>
      <c r="E126" s="3"/>
      <c r="F126" s="3"/>
      <c r="G126" s="3"/>
      <c r="H126" s="3"/>
    </row>
    <row r="127" spans="1:8" x14ac:dyDescent="0.35">
      <c r="B127" s="8" t="s">
        <v>35</v>
      </c>
      <c r="C127" s="3">
        <v>2</v>
      </c>
      <c r="D127" s="3"/>
      <c r="E127" s="3"/>
      <c r="F127" s="3"/>
      <c r="G127" s="3"/>
      <c r="H127" s="3"/>
    </row>
    <row r="128" spans="1:8" x14ac:dyDescent="0.35">
      <c r="B128" s="5" t="s">
        <v>34</v>
      </c>
      <c r="C128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Joanna</cp:lastModifiedBy>
  <dcterms:created xsi:type="dcterms:W3CDTF">2020-03-05T13:50:37Z</dcterms:created>
  <dcterms:modified xsi:type="dcterms:W3CDTF">2020-03-05T18:15:30Z</dcterms:modified>
</cp:coreProperties>
</file>